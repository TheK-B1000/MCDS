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Exclusion codes" sheetId="2" state="visible" r:id="rId2"/>
    <sheet name="Search log" sheetId="3" state="visible" r:id="rId3"/>
    <sheet name="Screening" sheetId="4" state="visible" r:id="rId4"/>
    <sheet name="PDF cell audit" sheetId="5" state="visible" r:id="rId5"/>
  </sheets>
  <definedNames>
    <definedName name="_xlnm.Print_Area" localSheetId="0">'How to use'!$A$1:$B$15</definedName>
    <definedName name="_xlnm._FilterDatabase" localSheetId="1" hidden="1">'Exclusion codes'!$A$1:$C$9</definedName>
    <definedName name="_xlnm.Print_Area" localSheetId="1">'Exclusion codes'!$A$1:$C$9</definedName>
    <definedName name="_xlnm._FilterDatabase" localSheetId="2" hidden="1">'Search log'!$A$1:$L$18</definedName>
    <definedName name="_xlnm.Print_Titles" localSheetId="2">'Search log'!$1:$1</definedName>
    <definedName name="_xlnm.Print_Area" localSheetId="2">'Search log'!$A$1:$L$20</definedName>
    <definedName name="_xlnm._FilterDatabase" localSheetId="3" hidden="1">'Screening'!$A$1:$J$31</definedName>
    <definedName name="_xlnm.Print_Titles" localSheetId="3">'Screening'!$1:$1</definedName>
    <definedName name="_xlnm.Print_Area" localSheetId="3">'Screening'!$A$1:$J$33</definedName>
    <definedName name="_xlnm._FilterDatabase" localSheetId="4" hidden="1">'PDF cell audit'!$A$1:$G$21</definedName>
    <definedName name="_xlnm.Print_Titles" localSheetId="4">'PDF cell audit'!$1:$1</definedName>
    <definedName name="_xlnm.Print_Area" localSheetId="4">'PDF cell audit'!$A$1:$G$24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4" fillId="5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MCDS</author>
  </authors>
  <commentList>
    <comment ref="E20" authorId="0" shapeId="0">
      <text>
        <t>COUNT ignores blank hit totals. Do not hardcode this number.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4" customHeight="1">
      <c r="A1" s="1" t="inlineStr">
        <is>
          <t>Literature search log</t>
        </is>
      </c>
    </row>
    <row r="2" ht="48" customHeight="1">
      <c r="A2" s="2" t="inlineStr">
        <is>
          <t>Audit trail for the MCDS/UDG related-work gap. Blue text is recorded evidence. Yellow rows are blank slots for the next database session. Do not type a hit count you did not see. If a database does not report a total, leave Hits returned blank and say so in Notes.</t>
        </is>
      </c>
    </row>
    <row r="4">
      <c r="A4" s="3" t="inlineStr">
        <is>
          <t>Sheet</t>
        </is>
      </c>
      <c r="B4" s="3" t="inlineStr">
        <is>
          <t>Role</t>
        </is>
      </c>
    </row>
    <row r="5">
      <c r="A5" s="4" t="inlineStr">
        <is>
          <t>Exclusion codes</t>
        </is>
      </c>
      <c r="B5" s="4" t="inlineStr">
        <is>
          <t>Fixed vocabulary. Screening reasons must use these codes.</t>
        </is>
      </c>
    </row>
    <row r="6">
      <c r="A6" s="4" t="inlineStr">
        <is>
          <t>Search log</t>
        </is>
      </c>
      <c r="B6" s="4" t="inlineStr">
        <is>
          <t>One row per query execution. Summary counts are formulas.</t>
        </is>
      </c>
    </row>
    <row r="7">
      <c r="A7" s="4" t="inlineStr">
        <is>
          <t>Screening</t>
        </is>
      </c>
      <c r="B7" s="4" t="inlineStr">
        <is>
          <t>One row per paper actually opened or read at abstract level.</t>
        </is>
      </c>
    </row>
    <row r="8">
      <c r="A8" s="4" t="inlineStr">
        <is>
          <t>PDF cell audit</t>
        </is>
      </c>
      <c r="B8" s="4" t="inlineStr">
        <is>
          <t>Former '?' cells in docs/related_work_matrix.md, filled only from a PDF in papers/.</t>
        </is>
      </c>
    </row>
    <row r="10">
      <c r="A10" s="3" t="inlineStr">
        <is>
          <t>Rule</t>
        </is>
      </c>
    </row>
    <row r="11" ht="32" customHeight="1">
      <c r="A11" s="4" t="inlineStr">
        <is>
          <t>NR means the PDF is in hand and does not report the metric. It is not a guess of zero.</t>
        </is>
      </c>
    </row>
    <row r="12" ht="32" customHeight="1">
      <c r="A12" s="4" t="inlineStr">
        <is>
          <t>NO_FULL_TEXT means the PDF is not in papers/. Leave the matrix cell unfilled.</t>
        </is>
      </c>
    </row>
    <row r="13" ht="32" customHeight="1">
      <c r="A13" s="4" t="inlineStr">
        <is>
          <t>Open-web snippet lists are not IEEE Xplore, ACM DL, Scopus, Springer, or Elsevier.</t>
        </is>
      </c>
    </row>
    <row r="14" ht="32" customHeight="1">
      <c r="A14" s="4" t="inlineStr">
        <is>
          <t>Do not add NuCDS, FVW, ACO-RVNS, or a new WSN algorithm to the v1 benchmark from this log.</t>
        </is>
      </c>
    </row>
    <row r="15" ht="32" customHeight="1">
      <c r="A15" s="4" t="inlineStr">
        <is>
          <t>Stop related-work expansion unless a logged search finds Marathe+Wan+Funke+S-MIS on matched implicit UDGs.</t>
        </is>
      </c>
    </row>
  </sheetData>
  <mergeCells count="7">
    <mergeCell ref="A2:B2"/>
    <mergeCell ref="A15:B15"/>
    <mergeCell ref="A11:B11"/>
    <mergeCell ref="A10:B10"/>
    <mergeCell ref="A13:B13"/>
    <mergeCell ref="A14:B14"/>
    <mergeCell ref="A12:B12"/>
  </mergeCells>
  <pageMargins left="0.75" right="0.75" top="1" bottom="1" header="0.5" footer="0.5"/>
  <pageSetup orientation="landscape" fitToHeight="1" fitToWidth="1"/>
  <headerFooter>
    <oddHeader>&amp;LMCDS literature search log</oddHeader>
    <oddFooter>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70" customWidth="1" min="3" max="3"/>
  </cols>
  <sheetData>
    <row r="1">
      <c r="A1" s="5" t="inlineStr">
        <is>
          <t>Code</t>
        </is>
      </c>
      <c r="B1" s="5" t="inlineStr">
        <is>
          <t>Use when</t>
        </is>
      </c>
      <c r="C1" s="5" t="inlineStr">
        <is>
          <t>Do not use when</t>
        </is>
      </c>
    </row>
    <row r="2" ht="36" customHeight="1">
      <c r="A2" s="6" t="inlineStr">
        <is>
          <t>NOT_UDG</t>
        </is>
      </c>
      <c r="B2" s="6" t="inlineStr">
        <is>
          <t>The paper is not about unit disk graphs or an equivalent equal-range geometric radio model.</t>
        </is>
      </c>
      <c r="C2" s="6" t="inlineStr">
        <is>
          <t>A general-graph MCDS paper that mentions wireless only as motivation.</t>
        </is>
      </c>
    </row>
    <row r="3" ht="36" customHeight="1">
      <c r="A3" s="6" t="inlineStr">
        <is>
          <t>NOT_MCDS</t>
        </is>
      </c>
      <c r="B3" s="6" t="inlineStr">
        <is>
          <t>The paper is not about connected dominating sets (for example dominating set only, or clustering without a CDS claim).</t>
        </is>
      </c>
      <c r="C3" s="6" t="inlineStr">
        <is>
          <t>A CDS paper that also studies dominating sets.</t>
        </is>
      </c>
    </row>
    <row r="4" ht="36" customHeight="1">
      <c r="A4" s="6" t="inlineStr">
        <is>
          <t>NO_EMPIRICAL_EVAL</t>
        </is>
      </c>
      <c r="B4" s="6" t="inlineStr">
        <is>
          <t>Theory, approximation proof, or data-structure analysis with no simulation or computational experiment.</t>
        </is>
      </c>
      <c r="C4" s="6" t="inlineStr">
        <is>
          <t>A paper whose experiment is only asymptotic message complexity written as a theorem.</t>
        </is>
      </c>
    </row>
    <row r="5" ht="36" customHeight="1">
      <c r="A5" s="6" t="inlineStr">
        <is>
          <t>NEW_ALGORITHM_ONLY</t>
        </is>
      </c>
      <c r="B5" s="6" t="inlineStr">
        <is>
          <t>Empirical section exists, but only to promote one new algorithm against unnamed or non-classical baselines.</t>
        </is>
      </c>
      <c r="C5" s="6" t="inlineStr">
        <is>
          <t>A neutral multi-algorithm benchmark even if the authors also propose a method.</t>
        </is>
      </c>
    </row>
    <row r="6" ht="36" customHeight="1">
      <c r="A6" s="6" t="inlineStr">
        <is>
          <t>GENERAL_GRAPH_ONLY</t>
        </is>
      </c>
      <c r="B6" s="6" t="inlineStr">
        <is>
          <t>MCDS experiments on abstract graphs (SNAP, DIMACS, biological nets) with no UDG geometry.</t>
        </is>
      </c>
      <c r="C6" s="6" t="inlineStr">
        <is>
          <t>A paper that includes both general graphs and UDG instances.</t>
        </is>
      </c>
    </row>
    <row r="7" ht="36" customHeight="1">
      <c r="A7" s="6" t="inlineStr">
        <is>
          <t>NO_SYSTEMS_METRICS</t>
        </is>
      </c>
      <c r="B7" s="6" t="inlineStr">
        <is>
          <t>Reports CDS size (or messages) but not wall-clock time, memory, or neighbor-query work. Use only when that is the reason for exclusion.</t>
        </is>
      </c>
      <c r="C7" s="6" t="inlineStr">
        <is>
          <t>Do not exclude a relevant UDG paper solely for missing memory; record the gap in the matrix instead.</t>
        </is>
      </c>
    </row>
    <row r="8" ht="36" customHeight="1">
      <c r="A8" s="6" t="inlineStr">
        <is>
          <t>NO_FULL_TEXT</t>
        </is>
      </c>
      <c r="B8" s="6" t="inlineStr">
        <is>
          <t>Only an abstract, slide, or paywall record was seen. No cell may be filled from it.</t>
        </is>
      </c>
      <c r="C8" s="6" t="inlineStr">
        <is>
          <t>A PDF that is stored under papers/.</t>
        </is>
      </c>
    </row>
    <row r="9" ht="36" customHeight="1">
      <c r="A9" s="6" t="inlineStr">
        <is>
          <t>DUPLICATE</t>
        </is>
      </c>
      <c r="B9" s="6" t="inlineStr">
        <is>
          <t>Same paper already screened under another record or version (preprint vs journal).</t>
        </is>
      </c>
      <c r="C9" s="6" t="inlineStr">
        <is>
          <t>A related but distinct algorithm paper by the same authors.</t>
        </is>
      </c>
    </row>
  </sheetData>
  <autoFilter ref="A1:C9"/>
  <pageMargins left="0.75" right="0.75" top="1" bottom="1" header="0.5" footer="0.5"/>
  <pageSetup orientation="landscape" fitToHeight="1" fitToWidth="1"/>
  <headerFooter>
    <oddHeader>&amp;LExclusion codes</oddHeader>
    <oddFooter>&amp;LCodes are closed. Add a code only by editing this sheet and the screening validation list.&amp;RPage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2" customWidth="1" min="3" max="3"/>
    <col width="36" customWidth="1" min="4" max="4"/>
    <col width="16" customWidth="1" min="5" max="5"/>
    <col width="16" customWidth="1" min="6" max="6"/>
    <col width="12" customWidth="1" min="7" max="7"/>
    <col width="12" customWidth="1" min="8" max="8"/>
    <col width="36" customWidth="1" min="9" max="9"/>
    <col width="70" customWidth="1" min="10" max="10"/>
    <col width="16" customWidth="1" min="11" max="11"/>
    <col width="18" customWidth="1" min="12" max="12"/>
  </cols>
  <sheetData>
    <row r="1">
      <c r="A1" s="7" t="inlineStr">
        <is>
          <t>Search date</t>
        </is>
      </c>
      <c r="B1" s="7" t="inlineStr">
        <is>
          <t>Database</t>
        </is>
      </c>
      <c r="C1" s="7" t="inlineStr">
        <is>
          <t>Query</t>
        </is>
      </c>
      <c r="D1" s="7" t="inlineStr">
        <is>
          <t>Filters</t>
        </is>
      </c>
      <c r="E1" s="7" t="inlineStr">
        <is>
          <t>Hits returned</t>
        </is>
      </c>
      <c r="F1" s="7" t="inlineStr">
        <is>
          <t>Hits screened</t>
        </is>
      </c>
      <c r="G1" s="7" t="inlineStr">
        <is>
          <t>Included</t>
        </is>
      </c>
      <c r="H1" s="7" t="inlineStr">
        <is>
          <t>Excluded</t>
        </is>
      </c>
      <c r="I1" s="7" t="inlineStr">
        <is>
          <t>Exclusion reason</t>
        </is>
      </c>
      <c r="J1" s="7" t="inlineStr">
        <is>
          <t>Notes</t>
        </is>
      </c>
      <c r="K1" s="7" t="inlineStr">
        <is>
          <t>PDF acquired?</t>
        </is>
      </c>
      <c r="L1" s="7" t="inlineStr">
        <is>
          <t>Matrix updated?</t>
        </is>
      </c>
    </row>
    <row r="2" ht="72" customHeight="1">
      <c r="A2" s="8" t="inlineStr">
        <is>
          <t>2026-10-05</t>
        </is>
      </c>
      <c r="B2" s="8" t="inlineStr">
        <is>
          <t>Open web (not a bibliographic database)</t>
        </is>
      </c>
      <c r="C2" s="8" t="inlineStr">
        <is>
          <t>"Marathe" "Funke" "connected dominating" unit disk experiment OR simulation OR empirical</t>
        </is>
      </c>
      <c r="D2" s="8" t="inlineStr">
        <is>
          <t>None. Ranked snippets only.</t>
        </is>
      </c>
      <c r="E2" s="8" t="n"/>
      <c r="F2" s="8" t="n">
        <v>4</v>
      </c>
      <c r="G2" s="8" t="n">
        <v>0</v>
      </c>
      <c r="H2" s="8" t="n">
        <v>4</v>
      </c>
      <c r="I2" s="8" t="inlineStr">
        <is>
          <t>NO_EMPIRICAL_EVAL; DUPLICATE; NEW_ALGORITHM_ONLY</t>
        </is>
      </c>
      <c r="J2" s="8" t="inlineStr">
        <is>
          <t>Hit total NR: the retrieval tool returned 4 ranked snippets, not a database total. Screened: Funke WiMob PDF (DUPLICATE of papers/primary), Funke bibliographic record (DUPLICATE), IJEMR NS-2 note (NEW_ALGORITHM_ONLY), and an unnamed UDG approximation abstract (NO_FULL_TEXT). No Marathe+Wan+Funke+S-MIS bake-off.</t>
        </is>
      </c>
      <c r="K2" s="8" t="inlineStr">
        <is>
          <t>No</t>
        </is>
      </c>
      <c r="L2" s="8" t="inlineStr">
        <is>
          <t>No</t>
        </is>
      </c>
    </row>
    <row r="3" ht="72" customHeight="1">
      <c r="A3" s="8" t="inlineStr">
        <is>
          <t>2026-10-05</t>
        </is>
      </c>
      <c r="B3" s="8" t="inlineStr">
        <is>
          <t>Open web (not a bibliographic database)</t>
        </is>
      </c>
      <c r="C3" s="8" t="inlineStr">
        <is>
          <t>"unit disk" "connected dominating set" simulation comparison CDS size runtime</t>
        </is>
      </c>
      <c r="D3" s="8" t="inlineStr">
        <is>
          <t>None. Ranked snippets only.</t>
        </is>
      </c>
      <c r="E3" s="8" t="n"/>
      <c r="F3" s="8" t="n">
        <v>5</v>
      </c>
      <c r="G3" s="8" t="n">
        <v>0</v>
      </c>
      <c r="H3" s="8" t="n">
        <v>5</v>
      </c>
      <c r="I3" s="8" t="inlineStr">
        <is>
          <t>NEW_ALGORITHM_ONLY; NO_FULL_TEXT; DUPLICATE</t>
        </is>
      </c>
      <c r="J3" s="8" t="inlineStr">
        <is>
          <t>Hit total NR (5 snippets). Screened: local backbone algorithm with random-UDG sims (NEW_ALGORITHM_ONLY, NO_FULL_TEXT), its ACM DL record (DUPLICATE), Funke PDF (DUPLICATE), Jallu 2017 abstract (NO_FULL_TEXT), and a mobility CDS simulation abstract (NOT_UDG is too strong; code NEW_ALGORITHM_ONLY plus mobility scope). None is the four-algorithm implicit study.</t>
        </is>
      </c>
      <c r="K3" s="8" t="inlineStr">
        <is>
          <t>No</t>
        </is>
      </c>
      <c r="L3" s="8" t="inlineStr">
        <is>
          <t>No</t>
        </is>
      </c>
    </row>
    <row r="4" ht="72" customHeight="1">
      <c r="A4" s="8" t="inlineStr">
        <is>
          <t>2026-10-05</t>
        </is>
      </c>
      <c r="B4" s="8" t="inlineStr">
        <is>
          <t>Open web (not a bibliographic database)</t>
        </is>
      </c>
      <c r="C4" s="8" t="inlineStr">
        <is>
          <t>"connected dominating set" "unit disk" ("range query" OR "implicit" OR "on demand") experiment</t>
        </is>
      </c>
      <c r="D4" s="8" t="inlineStr">
        <is>
          <t>None. Ranked snippets only.</t>
        </is>
      </c>
      <c r="E4" s="8" t="n"/>
      <c r="F4" s="8" t="n">
        <v>5</v>
      </c>
      <c r="G4" s="8" t="n">
        <v>0</v>
      </c>
      <c r="H4" s="8" t="n">
        <v>5</v>
      </c>
      <c r="I4" s="8" t="inlineStr">
        <is>
          <t>NO_EMPIRICAL_EVAL; DUPLICATE</t>
        </is>
      </c>
      <c r="J4" s="8" t="inlineStr">
        <is>
          <t>Hit total NR (5 snippets). Guibas, Milosavljevic, Motskin, CCCG 2010: dynamic geometric CDS repaired by range queries. Theory only (NO_EMPIRICAL_EVAL). Does not change v1. Location-aware local CDS PDFs are theory (NO_EMPIRICAL_EVAL).</t>
        </is>
      </c>
      <c r="K4" s="8" t="inlineStr">
        <is>
          <t>No</t>
        </is>
      </c>
      <c r="L4" s="8" t="inlineStr">
        <is>
          <t>Yes</t>
        </is>
      </c>
    </row>
    <row r="5" ht="48" customHeight="1">
      <c r="A5" s="9" t="n"/>
      <c r="B5" s="9" t="inlineStr">
        <is>
          <t>IEEE Xplore</t>
        </is>
      </c>
      <c r="C5" s="9" t="inlineStr">
        <is>
          <t>("connected dominating set" OR MCDS) AND ("unit disk" OR UDG) AND (experiment OR simulation OR empirical)</t>
        </is>
      </c>
      <c r="D5" s="9" t="inlineStr">
        <is>
          <t>Years: all. Record the exact filter string you used.</t>
        </is>
      </c>
      <c r="E5" s="9" t="n"/>
      <c r="F5" s="9" t="n"/>
      <c r="G5" s="9" t="n"/>
      <c r="H5" s="9" t="n"/>
      <c r="I5" s="9" t="n"/>
      <c r="J5" s="9" t="inlineStr">
        <is>
          <t>NOT_RUN on 2026-10-05. No institutional session for this database. Leave Hits returned blank until the database reports a number.</t>
        </is>
      </c>
      <c r="K5" s="9" t="n"/>
      <c r="L5" s="9" t="n"/>
    </row>
    <row r="6" ht="48" customHeight="1">
      <c r="A6" s="9" t="n"/>
      <c r="B6" s="9" t="inlineStr">
        <is>
          <t>ACM DL</t>
        </is>
      </c>
      <c r="C6" s="9" t="inlineStr">
        <is>
          <t>("connected dominating set" OR MCDS) AND ("unit disk" OR UDG) AND (Marathe OR Wan OR Funke OR "S-MIS")</t>
        </is>
      </c>
      <c r="D6" s="9" t="inlineStr">
        <is>
          <t>Years: all. Record the exact filter string you used.</t>
        </is>
      </c>
      <c r="E6" s="9" t="n"/>
      <c r="F6" s="9" t="n"/>
      <c r="G6" s="9" t="n"/>
      <c r="H6" s="9" t="n"/>
      <c r="I6" s="9" t="n"/>
      <c r="J6" s="9" t="inlineStr">
        <is>
          <t>NOT_RUN on 2026-10-05. No institutional session for this database. Leave Hits returned blank until the database reports a number.</t>
        </is>
      </c>
      <c r="K6" s="9" t="n"/>
      <c r="L6" s="9" t="n"/>
    </row>
    <row r="7" ht="48" customHeight="1">
      <c r="A7" s="9" t="n"/>
      <c r="B7" s="9" t="inlineStr">
        <is>
          <t>Scopus or Web of Science</t>
        </is>
      </c>
      <c r="C7" s="9" t="inlineStr">
        <is>
          <t>("connected dominating set" OR MCDS) AND ("unit disk" OR UDG) AND (experiment OR simulation)</t>
        </is>
      </c>
      <c r="D7" s="9" t="inlineStr">
        <is>
          <t>Years: all. Record the exact filter string you used.</t>
        </is>
      </c>
      <c r="E7" s="9" t="n"/>
      <c r="F7" s="9" t="n"/>
      <c r="G7" s="9" t="n"/>
      <c r="H7" s="9" t="n"/>
      <c r="I7" s="9" t="n"/>
      <c r="J7" s="9" t="inlineStr">
        <is>
          <t>NOT_RUN on 2026-10-05. No institutional session for this database. Leave Hits returned blank until the database reports a number.</t>
        </is>
      </c>
      <c r="K7" s="9" t="n"/>
      <c r="L7" s="9" t="n"/>
    </row>
    <row r="8" ht="48" customHeight="1">
      <c r="A8" s="9" t="n"/>
      <c r="B8" s="9" t="inlineStr">
        <is>
          <t>Springer</t>
        </is>
      </c>
      <c r="C8" s="9" t="inlineStr">
        <is>
          <t>("connected dominating set") AND ("unit disk") AND (simulation OR experiment)</t>
        </is>
      </c>
      <c r="D8" s="9" t="inlineStr">
        <is>
          <t>Years: all. Record the exact filter string you used.</t>
        </is>
      </c>
      <c r="E8" s="9" t="n"/>
      <c r="F8" s="9" t="n"/>
      <c r="G8" s="9" t="n"/>
      <c r="H8" s="9" t="n"/>
      <c r="I8" s="9" t="n"/>
      <c r="J8" s="9" t="inlineStr">
        <is>
          <t>NOT_RUN on 2026-10-05. No institutional session for this database. Leave Hits returned blank until the database reports a number.</t>
        </is>
      </c>
      <c r="K8" s="9" t="n"/>
      <c r="L8" s="9" t="n"/>
    </row>
    <row r="9" ht="48" customHeight="1">
      <c r="A9" s="9" t="n"/>
      <c r="B9" s="9" t="inlineStr">
        <is>
          <t>Elsevier ScienceDirect</t>
        </is>
      </c>
      <c r="C9" s="9" t="inlineStr">
        <is>
          <t>("connected dominating set") AND ("unit disk graph") AND (simulation OR experiment)</t>
        </is>
      </c>
      <c r="D9" s="9" t="inlineStr">
        <is>
          <t>Years: all. Record the exact filter string you used.</t>
        </is>
      </c>
      <c r="E9" s="9" t="n"/>
      <c r="F9" s="9" t="n"/>
      <c r="G9" s="9" t="n"/>
      <c r="H9" s="9" t="n"/>
      <c r="I9" s="9" t="n"/>
      <c r="J9" s="9" t="inlineStr">
        <is>
          <t>NOT_RUN on 2026-10-05. No institutional session for this database. Leave Hits returned blank until the database reports a number.</t>
        </is>
      </c>
      <c r="K9" s="9" t="n"/>
      <c r="L9" s="9" t="n"/>
    </row>
    <row r="10" ht="48" customHeight="1">
      <c r="A10" s="9" t="n"/>
      <c r="B10" s="9" t="inlineStr">
        <is>
          <t>Google Scholar</t>
        </is>
      </c>
      <c r="C10" s="9" t="inlineStr">
        <is>
          <t>Marathe Wan Funke "S-MIS" "connected dominating" experiment</t>
        </is>
      </c>
      <c r="D10" s="9" t="inlineStr">
        <is>
          <t>Years: all. Record the exact filter string you used.</t>
        </is>
      </c>
      <c r="E10" s="9" t="n"/>
      <c r="F10" s="9" t="n"/>
      <c r="G10" s="9" t="n"/>
      <c r="H10" s="9" t="n"/>
      <c r="I10" s="9" t="n"/>
      <c r="J10" s="9" t="inlineStr">
        <is>
          <t>NOT_RUN on 2026-10-05. No institutional session for this database. Leave Hits returned blank until the database reports a number.</t>
        </is>
      </c>
      <c r="K10" s="9" t="n"/>
      <c r="L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20" ht="36" customHeight="1">
      <c r="A20" s="10" t="inlineStr">
        <is>
          <t>Totals (formulas)</t>
        </is>
      </c>
      <c r="E20" s="11">
        <f>COUNT(E2:E18)</f>
        <v/>
      </c>
      <c r="F20" s="11">
        <f>SUM(F2:F18)</f>
        <v/>
      </c>
      <c r="G20" s="11">
        <f>SUM(G2:G18)</f>
        <v/>
      </c>
      <c r="H20" s="11">
        <f>SUM(H2:H18)</f>
        <v/>
      </c>
      <c r="J20" s="11" t="inlineStr">
        <is>
          <t>Hits returned count is how many queries recorded a numeric total. Blank totals are excluded. Included and Excluded sum the screening tallies on this sheet.</t>
        </is>
      </c>
    </row>
  </sheetData>
  <autoFilter ref="A1:L18"/>
  <pageMargins left="0.75" right="0.75" top="1" bottom="1" header="0.5" footer="0.5"/>
  <pageSetup orientation="landscape" paperSize="3" fitToHeight="0" fitToWidth="1"/>
  <headerFooter>
    <oddHeader>&amp;LSearch log</oddHeader>
    <oddFooter>&amp;LGreen = executed 2026-10-05. Yellow = still to run.&amp;RPage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55" customWidth="1" min="4" max="4"/>
    <col width="12" customWidth="1" min="5" max="5"/>
    <col width="14" customWidth="1" min="6" max="6"/>
    <col width="28" customWidth="1" min="7" max="7"/>
    <col width="16" customWidth="1" min="8" max="8"/>
    <col width="18" customWidth="1" min="9" max="9"/>
    <col width="70" customWidth="1" min="10" max="10"/>
  </cols>
  <sheetData>
    <row r="1">
      <c r="A1" s="5" t="inlineStr">
        <is>
          <t>Search date</t>
        </is>
      </c>
      <c r="B1" s="5" t="inlineStr">
        <is>
          <t>Database</t>
        </is>
      </c>
      <c r="C1" s="5" t="inlineStr">
        <is>
          <t>Query id</t>
        </is>
      </c>
      <c r="D1" s="5" t="inlineStr">
        <is>
          <t>Paper</t>
        </is>
      </c>
      <c r="E1" s="5" t="inlineStr">
        <is>
          <t>Year</t>
        </is>
      </c>
      <c r="F1" s="5" t="inlineStr">
        <is>
          <t>Decision</t>
        </is>
      </c>
      <c r="G1" s="5" t="inlineStr">
        <is>
          <t>Exclusion reason</t>
        </is>
      </c>
      <c r="H1" s="5" t="inlineStr">
        <is>
          <t>PDF acquired?</t>
        </is>
      </c>
      <c r="I1" s="5" t="inlineStr">
        <is>
          <t>Matrix updated?</t>
        </is>
      </c>
      <c r="J1" s="5" t="inlineStr">
        <is>
          <t>Notes</t>
        </is>
      </c>
    </row>
    <row r="2" ht="32" customHeight="1">
      <c r="A2" s="12" t="inlineStr">
        <is>
          <t>2026-10-05</t>
        </is>
      </c>
      <c r="B2" s="12" t="inlineStr">
        <is>
          <t>Open web</t>
        </is>
      </c>
      <c r="C2" s="12" t="n">
        <v>1</v>
      </c>
      <c r="D2" s="12" t="inlineStr">
        <is>
          <t>Funke et al., WiMob PDF</t>
        </is>
      </c>
      <c r="E2" s="12" t="inlineStr">
        <is>
          <t>2005</t>
        </is>
      </c>
      <c r="F2" s="12" t="inlineStr">
        <is>
          <t>Excluded</t>
        </is>
      </c>
      <c r="G2" s="12" t="inlineStr">
        <is>
          <t>DUPLICATE</t>
        </is>
      </c>
      <c r="H2" s="12" t="inlineStr">
        <is>
          <t>Yes</t>
        </is>
      </c>
      <c r="I2" s="12" t="inlineStr">
        <is>
          <t>Yes</t>
        </is>
      </c>
      <c r="J2" s="12" t="inlineStr">
        <is>
          <t>Already in papers/primary. Local PDF has no simulation section.</t>
        </is>
      </c>
    </row>
    <row r="3" ht="32" customHeight="1">
      <c r="A3" s="12" t="inlineStr">
        <is>
          <t>2026-10-05</t>
        </is>
      </c>
      <c r="B3" s="12" t="inlineStr">
        <is>
          <t>Open web</t>
        </is>
      </c>
      <c r="C3" s="12" t="n">
        <v>1</v>
      </c>
      <c r="D3" s="12" t="inlineStr">
        <is>
          <t>Funke bibliographic record (ACM/TOSN)</t>
        </is>
      </c>
      <c r="E3" s="12" t="inlineStr">
        <is>
          <t>2006</t>
        </is>
      </c>
      <c r="F3" s="12" t="inlineStr">
        <is>
          <t>Excluded</t>
        </is>
      </c>
      <c r="G3" s="12" t="inlineStr">
        <is>
          <t>DUPLICATE</t>
        </is>
      </c>
      <c r="H3" s="12" t="inlineStr">
        <is>
          <t>No</t>
        </is>
      </c>
      <c r="I3" s="12" t="inlineStr">
        <is>
          <t>No</t>
        </is>
      </c>
      <c r="J3" s="12" t="inlineStr">
        <is>
          <t>Same algorithm as the local WiMob PDF.</t>
        </is>
      </c>
    </row>
    <row r="4" ht="32" customHeight="1">
      <c r="A4" s="12" t="inlineStr">
        <is>
          <t>2026-10-05</t>
        </is>
      </c>
      <c r="B4" s="12" t="inlineStr">
        <is>
          <t>Open web</t>
        </is>
      </c>
      <c r="C4" s="12" t="n">
        <v>1</v>
      </c>
      <c r="D4" s="12" t="inlineStr">
        <is>
          <t>IJEMR CDS/NS-2 note</t>
        </is>
      </c>
      <c r="E4" s="12" t="inlineStr">
        <is>
          <t>unknown</t>
        </is>
      </c>
      <c r="F4" s="12" t="inlineStr">
        <is>
          <t>Excluded</t>
        </is>
      </c>
      <c r="G4" s="12" t="inlineStr">
        <is>
          <t>NEW_ALGORITHM_ONLY</t>
        </is>
      </c>
      <c r="H4" s="12" t="inlineStr">
        <is>
          <t>No</t>
        </is>
      </c>
      <c r="I4" s="12" t="inlineStr">
        <is>
          <t>No</t>
        </is>
      </c>
      <c r="J4" s="12" t="inlineStr">
        <is>
          <t>NS-2 packet metrics on ~30 nodes. Not the classical four.</t>
        </is>
      </c>
    </row>
    <row r="5" ht="32" customHeight="1">
      <c r="A5" s="12" t="inlineStr">
        <is>
          <t>2026-10-05</t>
        </is>
      </c>
      <c r="B5" s="12" t="inlineStr">
        <is>
          <t>Open web</t>
        </is>
      </c>
      <c r="C5" s="12" t="n">
        <v>1</v>
      </c>
      <c r="D5" s="12" t="inlineStr">
        <is>
          <t>UDG CDS approximation with claimed simulations</t>
        </is>
      </c>
      <c r="E5" s="12" t="inlineStr">
        <is>
          <t>unknown</t>
        </is>
      </c>
      <c r="F5" s="12" t="inlineStr">
        <is>
          <t>Excluded</t>
        </is>
      </c>
      <c r="G5" s="12" t="inlineStr">
        <is>
          <t>NO_FULL_TEXT</t>
        </is>
      </c>
      <c r="H5" s="12" t="inlineStr">
        <is>
          <t>No</t>
        </is>
      </c>
      <c r="I5" s="12" t="inlineStr">
        <is>
          <t>No</t>
        </is>
      </c>
      <c r="J5" s="12" t="inlineStr">
        <is>
          <t>Abstract says simulations beat known algorithms. Full text not acquired.</t>
        </is>
      </c>
    </row>
    <row r="6" ht="32" customHeight="1">
      <c r="A6" s="12" t="inlineStr">
        <is>
          <t>2026-10-05</t>
        </is>
      </c>
      <c r="B6" s="12" t="inlineStr">
        <is>
          <t>Open web</t>
        </is>
      </c>
      <c r="C6" s="12" t="n">
        <v>2</v>
      </c>
      <c r="D6" s="12" t="inlineStr">
        <is>
          <t>Local UDG backbone algorithm (random UDG sims)</t>
        </is>
      </c>
      <c r="E6" s="12" t="inlineStr">
        <is>
          <t>2009</t>
        </is>
      </c>
      <c r="F6" s="12" t="inlineStr">
        <is>
          <t>Excluded</t>
        </is>
      </c>
      <c r="G6" s="12" t="inlineStr">
        <is>
          <t>NEW_ALGORITHM_ONLY</t>
        </is>
      </c>
      <c r="H6" s="12" t="inlineStr">
        <is>
          <t>No</t>
        </is>
      </c>
      <c r="I6" s="12" t="inlineStr">
        <is>
          <t>No</t>
        </is>
      </c>
      <c r="J6" s="12" t="inlineStr">
        <is>
          <t>Reports size improvements on random UDGs. Not Marathe/Wan/Funke/S-MIS.</t>
        </is>
      </c>
    </row>
    <row r="7" ht="32" customHeight="1">
      <c r="A7" s="12" t="inlineStr">
        <is>
          <t>2026-10-05</t>
        </is>
      </c>
      <c r="B7" s="12" t="inlineStr">
        <is>
          <t>Open web</t>
        </is>
      </c>
      <c r="C7" s="12" t="n">
        <v>2</v>
      </c>
      <c r="D7" s="12" t="inlineStr">
        <is>
          <t>ACM DL record of the same local algorithm</t>
        </is>
      </c>
      <c r="E7" s="12" t="inlineStr">
        <is>
          <t>2009</t>
        </is>
      </c>
      <c r="F7" s="12" t="inlineStr">
        <is>
          <t>Excluded</t>
        </is>
      </c>
      <c r="G7" s="12" t="inlineStr">
        <is>
          <t>DUPLICATE</t>
        </is>
      </c>
      <c r="H7" s="12" t="inlineStr">
        <is>
          <t>No</t>
        </is>
      </c>
      <c r="I7" s="12" t="inlineStr">
        <is>
          <t>No</t>
        </is>
      </c>
      <c r="J7" s="12" t="inlineStr">
        <is>
          <t>Same paper as the previous row.</t>
        </is>
      </c>
    </row>
    <row r="8" ht="32" customHeight="1">
      <c r="A8" s="12" t="inlineStr">
        <is>
          <t>2026-10-05</t>
        </is>
      </c>
      <c r="B8" s="12" t="inlineStr">
        <is>
          <t>Open web</t>
        </is>
      </c>
      <c r="C8" s="12" t="n">
        <v>2</v>
      </c>
      <c r="D8" s="12" t="inlineStr">
        <is>
          <t>Jallu, Prasad, Das</t>
        </is>
      </c>
      <c r="E8" s="12" t="inlineStr">
        <is>
          <t>2017</t>
        </is>
      </c>
      <c r="F8" s="12" t="inlineStr">
        <is>
          <t>Excluded</t>
        </is>
      </c>
      <c r="G8" s="12" t="inlineStr">
        <is>
          <t>NO_FULL_TEXT</t>
        </is>
      </c>
      <c r="H8" s="12" t="inlineStr">
        <is>
          <t>No</t>
        </is>
      </c>
      <c r="I8" s="12" t="inlineStr">
        <is>
          <t>Yes</t>
        </is>
      </c>
      <c r="J8" s="12" t="inlineStr">
        <is>
          <t>Matrix geometry cell set to NO_FULL_TEXT. Abstract only.</t>
        </is>
      </c>
    </row>
    <row r="9" ht="32" customHeight="1">
      <c r="A9" s="12" t="inlineStr">
        <is>
          <t>2026-10-05</t>
        </is>
      </c>
      <c r="B9" s="12" t="inlineStr">
        <is>
          <t>Open web</t>
        </is>
      </c>
      <c r="C9" s="12" t="n">
        <v>2</v>
      </c>
      <c r="D9" s="12" t="inlineStr">
        <is>
          <t>Mobility CDS size vs stability simulation</t>
        </is>
      </c>
      <c r="E9" s="12" t="inlineStr">
        <is>
          <t>unknown</t>
        </is>
      </c>
      <c r="F9" s="12" t="inlineStr">
        <is>
          <t>Excluded</t>
        </is>
      </c>
      <c r="G9" s="12" t="inlineStr">
        <is>
          <t>NEW_ALGORITHM_ONLY</t>
        </is>
      </c>
      <c r="H9" s="12" t="inlineStr">
        <is>
          <t>No</t>
        </is>
      </c>
      <c r="I9" s="12" t="inlineStr">
        <is>
          <t>No</t>
        </is>
      </c>
      <c r="J9" s="12" t="inlineStr">
        <is>
          <t>Mobile ad hoc CDS comparison. Different question (stability), full text not in papers/.</t>
        </is>
      </c>
    </row>
    <row r="10" ht="32" customHeight="1">
      <c r="A10" s="12" t="inlineStr">
        <is>
          <t>2026-10-05</t>
        </is>
      </c>
      <c r="B10" s="12" t="inlineStr">
        <is>
          <t>Open web</t>
        </is>
      </c>
      <c r="C10" s="12" t="n">
        <v>2</v>
      </c>
      <c r="D10" s="12" t="inlineStr">
        <is>
          <t>Funke WiMob PDF (repeat hit)</t>
        </is>
      </c>
      <c r="E10" s="12" t="inlineStr">
        <is>
          <t>2005</t>
        </is>
      </c>
      <c r="F10" s="12" t="inlineStr">
        <is>
          <t>Excluded</t>
        </is>
      </c>
      <c r="G10" s="12" t="inlineStr">
        <is>
          <t>DUPLICATE</t>
        </is>
      </c>
      <c r="H10" s="12" t="inlineStr">
        <is>
          <t>Yes</t>
        </is>
      </c>
      <c r="I10" s="12" t="inlineStr">
        <is>
          <t>No</t>
        </is>
      </c>
      <c r="J10" s="12" t="inlineStr">
        <is>
          <t>Already screened under query 1.</t>
        </is>
      </c>
    </row>
    <row r="11" ht="32" customHeight="1">
      <c r="A11" s="12" t="inlineStr">
        <is>
          <t>2026-10-05</t>
        </is>
      </c>
      <c r="B11" s="12" t="inlineStr">
        <is>
          <t>Open web</t>
        </is>
      </c>
      <c r="C11" s="12" t="n">
        <v>3</v>
      </c>
      <c r="D11" s="12" t="inlineStr">
        <is>
          <t>Guibas, Milosavljevic, Motskin, CCCG</t>
        </is>
      </c>
      <c r="E11" s="12" t="inlineStr">
        <is>
          <t>2010</t>
        </is>
      </c>
      <c r="F11" s="12" t="inlineStr">
        <is>
          <t>Excluded</t>
        </is>
      </c>
      <c r="G11" s="12" t="inlineStr">
        <is>
          <t>NO_EMPIRICAL_EVAL</t>
        </is>
      </c>
      <c r="H11" s="12" t="inlineStr">
        <is>
          <t>No</t>
        </is>
      </c>
      <c r="I11" s="12" t="inlineStr">
        <is>
          <t>Yes</t>
        </is>
      </c>
      <c r="J11" s="12" t="inlineStr">
        <is>
          <t>Range queries repair a dynamic CDS. Theory. Does not enter v1.</t>
        </is>
      </c>
    </row>
    <row r="12" ht="32" customHeight="1">
      <c r="A12" s="12" t="inlineStr">
        <is>
          <t>2026-10-05</t>
        </is>
      </c>
      <c r="B12" s="12" t="inlineStr">
        <is>
          <t>Open web</t>
        </is>
      </c>
      <c r="C12" s="12" t="n">
        <v>3</v>
      </c>
      <c r="D12" s="12" t="inlineStr">
        <is>
          <t>CCCG 2010 PDF mirror of Guibas et al.</t>
        </is>
      </c>
      <c r="E12" s="12" t="inlineStr">
        <is>
          <t>2010</t>
        </is>
      </c>
      <c r="F12" s="12" t="inlineStr">
        <is>
          <t>Excluded</t>
        </is>
      </c>
      <c r="G12" s="12" t="inlineStr">
        <is>
          <t>DUPLICATE</t>
        </is>
      </c>
      <c r="H12" s="12" t="inlineStr">
        <is>
          <t>No</t>
        </is>
      </c>
      <c r="I12" s="12" t="inlineStr">
        <is>
          <t>No</t>
        </is>
      </c>
      <c r="J12" s="12" t="inlineStr">
        <is>
          <t>Same paper as the previous row.</t>
        </is>
      </c>
    </row>
    <row r="13" ht="32" customHeight="1">
      <c r="A13" s="12" t="inlineStr">
        <is>
          <t>2026-10-05</t>
        </is>
      </c>
      <c r="B13" s="12" t="inlineStr">
        <is>
          <t>Open web</t>
        </is>
      </c>
      <c r="C13" s="12" t="n">
        <v>3</v>
      </c>
      <c r="D13" s="12" t="inlineStr">
        <is>
          <t>Location-aware local CDS (Czyzowicz et al. line)</t>
        </is>
      </c>
      <c r="E13" s="12" t="inlineStr">
        <is>
          <t>2000s</t>
        </is>
      </c>
      <c r="F13" s="12" t="inlineStr">
        <is>
          <t>Excluded</t>
        </is>
      </c>
      <c r="G13" s="12" t="inlineStr">
        <is>
          <t>NO_EMPIRICAL_EVAL</t>
        </is>
      </c>
      <c r="H13" s="12" t="inlineStr">
        <is>
          <t>No</t>
        </is>
      </c>
      <c r="I13" s="12" t="inlineStr">
        <is>
          <t>No</t>
        </is>
      </c>
      <c r="J13" s="12" t="inlineStr">
        <is>
          <t>Constant-locality approximation. No systems benchmark.</t>
        </is>
      </c>
    </row>
    <row r="14" ht="32" customHeight="1">
      <c r="A14" s="12" t="inlineStr">
        <is>
          <t>2026-10-05</t>
        </is>
      </c>
      <c r="B14" s="12" t="inlineStr">
        <is>
          <t>Local library</t>
        </is>
      </c>
      <c r="C14" s="12" t="n">
        <v>0</v>
      </c>
      <c r="D14" s="12" t="inlineStr">
        <is>
          <t>Li et al. S-MIS, WCMC</t>
        </is>
      </c>
      <c r="E14" s="12" t="inlineStr">
        <is>
          <t>2005</t>
        </is>
      </c>
      <c r="F14" s="12" t="inlineStr">
        <is>
          <t>Included</t>
        </is>
      </c>
      <c r="G14" s="12" t="inlineStr"/>
      <c r="H14" s="12" t="inlineStr">
        <is>
          <t>Yes</t>
        </is>
      </c>
      <c r="I14" s="12" t="inlineStr">
        <is>
          <t>Yes</t>
        </is>
      </c>
      <c r="J14" s="12" t="inlineStr">
        <is>
          <t>Kept as a source algorithm. PDF §4 fills the former '?' runtime cell as NR.</t>
        </is>
      </c>
    </row>
    <row r="15" ht="32" customHeight="1">
      <c r="A15" s="12" t="inlineStr">
        <is>
          <t>2026-10-05</t>
        </is>
      </c>
      <c r="B15" s="12" t="inlineStr">
        <is>
          <t>Local library</t>
        </is>
      </c>
      <c r="C15" s="12" t="n">
        <v>0</v>
      </c>
      <c r="D15" s="12" t="inlineStr">
        <is>
          <t>Marathe et al.</t>
        </is>
      </c>
      <c r="E15" s="12" t="inlineStr">
        <is>
          <t>1995</t>
        </is>
      </c>
      <c r="F15" s="12" t="inlineStr">
        <is>
          <t>Included</t>
        </is>
      </c>
      <c r="G15" s="12" t="inlineStr"/>
      <c r="H15" s="12" t="inlineStr">
        <is>
          <t>Yes</t>
        </is>
      </c>
      <c r="I15" s="12" t="inlineStr">
        <is>
          <t>Yes</t>
        </is>
      </c>
      <c r="J15" s="12" t="inlineStr">
        <is>
          <t>Source algorithm. PDF confirms no simulation section; memory and query cells NR.</t>
        </is>
      </c>
    </row>
    <row r="16" ht="32" customHeight="1">
      <c r="A16" s="12" t="inlineStr">
        <is>
          <t>2026-10-05</t>
        </is>
      </c>
      <c r="B16" s="12" t="inlineStr">
        <is>
          <t>Local library</t>
        </is>
      </c>
      <c r="C16" s="12" t="n">
        <v>0</v>
      </c>
      <c r="D16" s="12" t="inlineStr">
        <is>
          <t>Wan, Alzoubi, Frieder</t>
        </is>
      </c>
      <c r="E16" s="12" t="inlineStr">
        <is>
          <t>2002</t>
        </is>
      </c>
      <c r="F16" s="12" t="inlineStr">
        <is>
          <t>Included</t>
        </is>
      </c>
      <c r="G16" s="12" t="inlineStr"/>
      <c r="H16" s="12" t="inlineStr">
        <is>
          <t>Yes</t>
        </is>
      </c>
      <c r="I16" s="12" t="inlineStr">
        <is>
          <t>Yes</t>
        </is>
      </c>
      <c r="J16" s="12" t="inlineStr">
        <is>
          <t>Source algorithm. PDF confirms no simulation section.</t>
        </is>
      </c>
    </row>
    <row r="17" ht="32" customHeight="1">
      <c r="A17" s="12" t="inlineStr">
        <is>
          <t>2026-10-05</t>
        </is>
      </c>
      <c r="B17" s="12" t="inlineStr">
        <is>
          <t>Local library</t>
        </is>
      </c>
      <c r="C17" s="12" t="n">
        <v>0</v>
      </c>
      <c r="D17" s="12" t="inlineStr">
        <is>
          <t>Funke et al. local PDF</t>
        </is>
      </c>
      <c r="E17" s="12" t="inlineStr">
        <is>
          <t>2005</t>
        </is>
      </c>
      <c r="F17" s="12" t="inlineStr">
        <is>
          <t>Included</t>
        </is>
      </c>
      <c r="G17" s="12" t="inlineStr"/>
      <c r="H17" s="12" t="inlineStr">
        <is>
          <t>Yes</t>
        </is>
      </c>
      <c r="I17" s="12" t="inlineStr">
        <is>
          <t>Yes</t>
        </is>
      </c>
      <c r="J17" s="12" t="inlineStr">
        <is>
          <t>Source algorithm. 4-page PDF confirms no simulation section.</t>
        </is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3">
      <c r="A33" s="10" t="inlineStr">
        <is>
          <t>Decision counts</t>
        </is>
      </c>
      <c r="F33" s="13">
        <f>COUNTIF(F2:F31,"Included")</f>
        <v/>
      </c>
      <c r="G33" s="13">
        <f>COUNTIF(F2:F31,"Excluded")</f>
        <v/>
      </c>
      <c r="H33" s="13">
        <f>COUNTIF(H2:H31,"Yes")</f>
        <v/>
      </c>
      <c r="J33" s="4" t="inlineStr">
        <is>
          <t>F = included papers, G formula cell shows excluded count, H formula cell shows PDFs acquired = Yes.</t>
        </is>
      </c>
    </row>
  </sheetData>
  <autoFilter ref="A1:J31"/>
  <dataValidations count="2">
    <dataValidation sqref="F2:F31" showDropDown="0" showInputMessage="0" showErrorMessage="0" allowBlank="1" errorTitle="Decision" error="Use Included or Excluded" type="list">
      <formula1>"Included,Excluded"</formula1>
    </dataValidation>
    <dataValidation sqref="G2:G31" showDropDown="0" showInputMessage="0" showErrorMessage="0" allowBlank="1" type="list">
      <formula1>"NOT_UDG,NOT_MCDS,NO_EMPIRICAL_EVAL,NEW_ALGORITHM_ONLY,GENERAL_GRAPH_ONLY,NO_SYSTEMS_METRICS,NO_FULL_TEXT,DUPLICATE"</formula1>
    </dataValidation>
  </dataValidations>
  <pageMargins left="0.75" right="0.75" top="1" bottom="1" header="0.5" footer="0.5"/>
  <pageSetup orientation="landscape" paperSize="3" fitToHeight="0" fitToWidth="1"/>
  <headerFooter>
    <oddHeader>&amp;LScreening</oddHeader>
    <oddFooter>&amp;RPage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62" customWidth="1" min="5" max="5"/>
    <col width="28" customWidth="1" min="6" max="6"/>
    <col width="78" customWidth="1" min="7" max="7"/>
  </cols>
  <sheetData>
    <row r="1">
      <c r="A1" s="5" t="inlineStr">
        <is>
          <t>Matrix ID</t>
        </is>
      </c>
      <c r="B1" s="5" t="inlineStr">
        <is>
          <t>Field</t>
        </is>
      </c>
      <c r="C1" s="5" t="inlineStr">
        <is>
          <t>Previous cell</t>
        </is>
      </c>
      <c r="D1" s="5" t="inlineStr">
        <is>
          <t>New value</t>
        </is>
      </c>
      <c r="E1" s="5" t="inlineStr">
        <is>
          <t>PDF path</t>
        </is>
      </c>
      <c r="F1" s="5" t="inlineStr">
        <is>
          <t>Where in the PDF</t>
        </is>
      </c>
      <c r="G1" s="5" t="inlineStr">
        <is>
          <t>What the PDF supports</t>
        </is>
      </c>
    </row>
    <row r="2" ht="36" customHeight="1">
      <c r="A2" s="8" t="inlineStr">
        <is>
          <t>01</t>
        </is>
      </c>
      <c r="B2" s="8" t="inlineStr">
        <is>
          <t>Memory</t>
        </is>
      </c>
      <c r="C2" s="8" t="inlineStr">
        <is>
          <t>N</t>
        </is>
      </c>
      <c r="D2" s="8" t="inlineStr">
        <is>
          <t>NR</t>
        </is>
      </c>
      <c r="E2" s="8" t="inlineStr">
        <is>
          <t>papers/primary/marathe_simple_heuristics_unit_disk_graphs.pdf</t>
        </is>
      </c>
      <c r="F2" s="8" t="inlineStr">
        <is>
          <t>Full text, 19 pages</t>
        </is>
      </c>
      <c r="G2" s="8" t="inlineStr">
        <is>
          <t>No memory measurement. Word 'memory' does not occur.</t>
        </is>
      </c>
    </row>
    <row r="3" ht="36" customHeight="1">
      <c r="A3" s="8" t="inlineStr">
        <is>
          <t>01</t>
        </is>
      </c>
      <c r="B3" s="8" t="inlineStr">
        <is>
          <t>Queries</t>
        </is>
      </c>
      <c r="C3" s="8" t="inlineStr">
        <is>
          <t>N</t>
        </is>
      </c>
      <c r="D3" s="8" t="inlineStr">
        <is>
          <t>NR</t>
        </is>
      </c>
      <c r="E3" s="8" t="inlineStr">
        <is>
          <t>papers/primary/marathe_simple_heuristics_unit_disk_graphs.pdf</t>
        </is>
      </c>
      <c r="F3" s="8" t="inlineStr">
        <is>
          <t>Full text</t>
        </is>
      </c>
      <c r="G3" s="8" t="inlineStr">
        <is>
          <t>No neighbor-query counter.</t>
        </is>
      </c>
    </row>
    <row r="4" ht="36" customHeight="1">
      <c r="A4" s="8" t="inlineStr">
        <is>
          <t>02</t>
        </is>
      </c>
      <c r="B4" s="8" t="inlineStr">
        <is>
          <t>Memory</t>
        </is>
      </c>
      <c r="C4" s="8" t="inlineStr">
        <is>
          <t>N</t>
        </is>
      </c>
      <c r="D4" s="8" t="inlineStr">
        <is>
          <t>NR</t>
        </is>
      </c>
      <c r="E4" s="8" t="inlineStr">
        <is>
          <t>papers/primary/wan_alzoubi_frieder_2002.pdf</t>
        </is>
      </c>
      <c r="F4" s="8" t="inlineStr">
        <is>
          <t>Full text, 8 pages</t>
        </is>
      </c>
      <c r="G4" s="8" t="inlineStr">
        <is>
          <t>No memory measurement.</t>
        </is>
      </c>
    </row>
    <row r="5" ht="36" customHeight="1">
      <c r="A5" s="8" t="inlineStr">
        <is>
          <t>02</t>
        </is>
      </c>
      <c r="B5" s="8" t="inlineStr">
        <is>
          <t>Queries</t>
        </is>
      </c>
      <c r="C5" s="8" t="inlineStr">
        <is>
          <t>N</t>
        </is>
      </c>
      <c r="D5" s="8" t="inlineStr">
        <is>
          <t>NR</t>
        </is>
      </c>
      <c r="E5" s="8" t="inlineStr">
        <is>
          <t>papers/primary/wan_alzoubi_frieder_2002.pdf</t>
        </is>
      </c>
      <c r="F5" s="8" t="inlineStr">
        <is>
          <t>Full text</t>
        </is>
      </c>
      <c r="G5" s="8" t="inlineStr">
        <is>
          <t>Message complexity is asymptotic, not a geometric query counter.</t>
        </is>
      </c>
    </row>
    <row r="6" ht="36" customHeight="1">
      <c r="A6" s="8" t="inlineStr">
        <is>
          <t>03</t>
        </is>
      </c>
      <c r="B6" s="8" t="inlineStr">
        <is>
          <t>Memory</t>
        </is>
      </c>
      <c r="C6" s="8" t="inlineStr">
        <is>
          <t>N</t>
        </is>
      </c>
      <c r="D6" s="8" t="inlineStr">
        <is>
          <t>NR</t>
        </is>
      </c>
      <c r="E6" s="8" t="inlineStr">
        <is>
          <t>papers/primary/funke_kesselman_meyer_segal.pdf</t>
        </is>
      </c>
      <c r="F6" s="8" t="inlineStr">
        <is>
          <t>Full text, 4 pages</t>
        </is>
      </c>
      <c r="G6" s="8" t="inlineStr">
        <is>
          <t>No memory measurement. No simulation section.</t>
        </is>
      </c>
    </row>
    <row r="7" ht="36" customHeight="1">
      <c r="A7" s="8" t="inlineStr">
        <is>
          <t>03</t>
        </is>
      </c>
      <c r="B7" s="8" t="inlineStr">
        <is>
          <t>Queries</t>
        </is>
      </c>
      <c r="C7" s="8" t="inlineStr">
        <is>
          <t>N</t>
        </is>
      </c>
      <c r="D7" s="8" t="inlineStr">
        <is>
          <t>NR</t>
        </is>
      </c>
      <c r="E7" s="8" t="inlineStr">
        <is>
          <t>papers/primary/funke_kesselman_meyer_segal.pdf</t>
        </is>
      </c>
      <c r="F7" s="8" t="inlineStr">
        <is>
          <t>Full text</t>
        </is>
      </c>
      <c r="G7" s="8" t="inlineStr">
        <is>
          <t>No neighbor-query counter.</t>
        </is>
      </c>
    </row>
    <row r="8" ht="36" customHeight="1">
      <c r="A8" s="8" t="inlineStr">
        <is>
          <t>04</t>
        </is>
      </c>
      <c r="B8" s="8" t="inlineStr">
        <is>
          <t>Runtime</t>
        </is>
      </c>
      <c r="C8" s="8" t="inlineStr">
        <is>
          <t>?</t>
        </is>
      </c>
      <c r="D8" s="8" t="inlineStr">
        <is>
          <t>NR</t>
        </is>
      </c>
      <c r="E8" s="8" t="inlineStr">
        <is>
          <t>papers/primary/li_thai_wang_yi_wan_du_2005_smis.pdf</t>
        </is>
      </c>
      <c r="F8" s="8" t="inlineStr">
        <is>
          <t>Section 4, Simulation Results</t>
        </is>
      </c>
      <c r="G8" s="8" t="inlineStr">
        <is>
          <t>Reports averaged blue/black ratios. Does not report wall-clock time.</t>
        </is>
      </c>
    </row>
    <row r="9" ht="36" customHeight="1">
      <c r="A9" s="8" t="inlineStr">
        <is>
          <t>04</t>
        </is>
      </c>
      <c r="B9" s="8" t="inlineStr">
        <is>
          <t>Memory</t>
        </is>
      </c>
      <c r="C9" s="8" t="inlineStr">
        <is>
          <t>N</t>
        </is>
      </c>
      <c r="D9" s="8" t="inlineStr">
        <is>
          <t>NR</t>
        </is>
      </c>
      <c r="E9" s="8" t="inlineStr">
        <is>
          <t>papers/primary/li_thai_wang_yi_wan_du_2005_smis.pdf</t>
        </is>
      </c>
      <c r="F9" s="8" t="inlineStr">
        <is>
          <t>Section 4</t>
        </is>
      </c>
      <c r="G9" s="8" t="inlineStr">
        <is>
          <t>Not reported.</t>
        </is>
      </c>
    </row>
    <row r="10" ht="36" customHeight="1">
      <c r="A10" s="8" t="inlineStr">
        <is>
          <t>04</t>
        </is>
      </c>
      <c r="B10" s="8" t="inlineStr">
        <is>
          <t>Queries</t>
        </is>
      </c>
      <c r="C10" s="8" t="inlineStr">
        <is>
          <t>N</t>
        </is>
      </c>
      <c r="D10" s="8" t="inlineStr">
        <is>
          <t>NR</t>
        </is>
      </c>
      <c r="E10" s="8" t="inlineStr">
        <is>
          <t>papers/primary/li_thai_wang_yi_wan_du_2005_smis.pdf</t>
        </is>
      </c>
      <c r="F10" s="8" t="inlineStr">
        <is>
          <t>Section 4</t>
        </is>
      </c>
      <c r="G10" s="8" t="inlineStr">
        <is>
          <t>Not reported.</t>
        </is>
      </c>
    </row>
    <row r="11" ht="36" customHeight="1">
      <c r="A11" s="8" t="inlineStr">
        <is>
          <t>04</t>
        </is>
      </c>
      <c r="B11" s="8" t="inlineStr">
        <is>
          <t>Paired instances</t>
        </is>
      </c>
      <c r="C11" s="8" t="inlineStr">
        <is>
          <t>N</t>
        </is>
      </c>
      <c r="D11" s="8" t="inlineStr">
        <is>
          <t>NR</t>
        </is>
      </c>
      <c r="E11" s="8" t="inlineStr">
        <is>
          <t>papers/primary/li_thai_wang_yi_wan_du_2005_smis.pdf</t>
        </is>
      </c>
      <c r="F11" s="8" t="inlineStr">
        <is>
          <t>Section 4</t>
        </is>
      </c>
      <c r="G11" s="8" t="inlineStr">
        <is>
          <t>Both variants are averaged over 100 runs per (N,R). The PDF does not say the runs share one point set.</t>
        </is>
      </c>
    </row>
    <row r="12" ht="36" customHeight="1">
      <c r="A12" s="12" t="inlineStr">
        <is>
          <t>04</t>
        </is>
      </c>
      <c r="B12" s="12" t="inlineStr">
        <is>
          <t>Reps</t>
        </is>
      </c>
      <c r="C12" s="12" t="inlineStr">
        <is>
          <t>N</t>
        </is>
      </c>
      <c r="D12" s="12" t="inlineStr">
        <is>
          <t>100</t>
        </is>
      </c>
      <c r="E12" s="12" t="inlineStr">
        <is>
          <t>papers/primary/li_thai_wang_yi_wan_du_2005_smis.pdf</t>
        </is>
      </c>
      <c r="F12" s="12" t="inlineStr">
        <is>
          <t>Section 4</t>
        </is>
      </c>
      <c r="G12" s="12" t="inlineStr">
        <is>
          <t>Run 100 times for each group of N and R. N from 20 to 100. R in [200, 800]. Square is 1000 by 1000. Connected networks only.</t>
        </is>
      </c>
    </row>
    <row r="13" ht="36" customHeight="1">
      <c r="A13" s="12" t="inlineStr">
        <is>
          <t>04</t>
        </is>
      </c>
      <c r="B13" s="12" t="inlineStr">
        <is>
          <t>OPT</t>
        </is>
      </c>
      <c r="C13" s="12" t="inlineStr">
        <is>
          <t>N</t>
        </is>
      </c>
      <c r="D13" s="12" t="inlineStr">
        <is>
          <t>N</t>
        </is>
      </c>
      <c r="E13" s="12" t="inlineStr">
        <is>
          <t>papers/primary/li_thai_wang_yi_wan_du_2005_smis.pdf</t>
        </is>
      </c>
      <c r="F13" s="12" t="inlineStr">
        <is>
          <t>Section 4</t>
        </is>
      </c>
      <c r="G13" s="12" t="inlineStr">
        <is>
          <t>Comparison is S-MIS vs rS-MIS, not vs OPT.</t>
        </is>
      </c>
    </row>
    <row r="14" ht="36" customHeight="1">
      <c r="A14" s="9" t="inlineStr">
        <is>
          <t>07</t>
        </is>
      </c>
      <c r="B14" s="9" t="inlineStr">
        <is>
          <t>Runtime</t>
        </is>
      </c>
      <c r="C14" s="9" t="inlineStr">
        <is>
          <t>?</t>
        </is>
      </c>
      <c r="D14" s="9" t="inlineStr">
        <is>
          <t>NO_FULL_TEXT</t>
        </is>
      </c>
      <c r="E14" s="9" t="inlineStr"/>
      <c r="F14" s="9" t="inlineStr"/>
      <c r="G14" s="9" t="inlineStr">
        <is>
          <t>No PDF in papers/. Not filled.</t>
        </is>
      </c>
    </row>
    <row r="15" ht="36" customHeight="1">
      <c r="A15" s="9" t="inlineStr">
        <is>
          <t>07</t>
        </is>
      </c>
      <c r="B15" s="9" t="inlineStr">
        <is>
          <t>Year</t>
        </is>
      </c>
      <c r="C15" s="9" t="inlineStr">
        <is>
          <t>~200?</t>
        </is>
      </c>
      <c r="D15" s="9" t="inlineStr">
        <is>
          <t>NO_FULL_TEXT</t>
        </is>
      </c>
      <c r="E15" s="9" t="inlineStr"/>
      <c r="F15" s="9" t="inlineStr"/>
      <c r="G15" s="9" t="inlineStr">
        <is>
          <t>No PDF in papers/. Not filled.</t>
        </is>
      </c>
    </row>
    <row r="16" ht="36" customHeight="1">
      <c r="A16" s="9" t="inlineStr">
        <is>
          <t>08</t>
        </is>
      </c>
      <c r="B16" s="9" t="inlineStr">
        <is>
          <t>Geometries</t>
        </is>
      </c>
      <c r="C16" s="9" t="inlineStr">
        <is>
          <t>uniform?</t>
        </is>
      </c>
      <c r="D16" s="9" t="inlineStr">
        <is>
          <t>NO_FULL_TEXT</t>
        </is>
      </c>
      <c r="E16" s="9" t="inlineStr"/>
      <c r="F16" s="9" t="inlineStr"/>
      <c r="G16" s="9" t="inlineStr">
        <is>
          <t>Abstract describes points in R2. Geometry family is not filled without the PDF.</t>
        </is>
      </c>
    </row>
    <row r="17" ht="36" customHeight="1">
      <c r="A17" s="9" t="inlineStr">
        <is>
          <t>15</t>
        </is>
      </c>
      <c r="B17" s="9" t="inlineStr">
        <is>
          <t>Geometries</t>
        </is>
      </c>
      <c r="C17" s="9" t="inlineStr">
        <is>
          <t>?</t>
        </is>
      </c>
      <c r="D17" s="9" t="inlineStr">
        <is>
          <t>NO_FULL_TEXT</t>
        </is>
      </c>
      <c r="E17" s="9" t="inlineStr"/>
      <c r="F17" s="9" t="inlineStr"/>
      <c r="G17" s="9" t="inlineStr">
        <is>
          <t>Abstract supports diameter as a metric. Spatial distribution is not filled.</t>
        </is>
      </c>
    </row>
    <row r="18" ht="36" customHeight="1">
      <c r="A18" s="9" t="inlineStr">
        <is>
          <t>15</t>
        </is>
      </c>
      <c r="B18" s="9" t="inlineStr">
        <is>
          <t>Runtime</t>
        </is>
      </c>
      <c r="C18" s="9" t="inlineStr">
        <is>
          <t>?</t>
        </is>
      </c>
      <c r="D18" s="9" t="inlineStr">
        <is>
          <t>NO_FULL_TEXT</t>
        </is>
      </c>
      <c r="E18" s="9" t="inlineStr"/>
      <c r="F18" s="9" t="inlineStr"/>
      <c r="G18" s="9" t="inlineStr">
        <is>
          <t>Not filled.</t>
        </is>
      </c>
    </row>
    <row r="19" ht="36" customHeight="1">
      <c r="A19" s="9" t="inlineStr">
        <is>
          <t>17</t>
        </is>
      </c>
      <c r="B19" s="9" t="inlineStr">
        <is>
          <t>Geometries</t>
        </is>
      </c>
      <c r="C19" s="9" t="inlineStr">
        <is>
          <t>?</t>
        </is>
      </c>
      <c r="D19" s="9" t="inlineStr">
        <is>
          <t>NO_FULL_TEXT</t>
        </is>
      </c>
      <c r="E19" s="9" t="inlineStr"/>
      <c r="F19" s="9" t="inlineStr"/>
      <c r="G19" s="9" t="inlineStr">
        <is>
          <t>Open-web publisher HTML/PDF was seen earlier and is not stored under papers/. Cell not filled.</t>
        </is>
      </c>
    </row>
    <row r="20" ht="36" customHeight="1">
      <c r="A20" s="9" t="inlineStr">
        <is>
          <t>21</t>
        </is>
      </c>
      <c r="B20" s="9" t="inlineStr">
        <is>
          <t>Runtime</t>
        </is>
      </c>
      <c r="C20" s="9" t="inlineStr">
        <is>
          <t>?</t>
        </is>
      </c>
      <c r="D20" s="9" t="inlineStr">
        <is>
          <t>NO_FULL_TEXT</t>
        </is>
      </c>
      <c r="E20" s="9" t="inlineStr"/>
      <c r="F20" s="9" t="inlineStr"/>
      <c r="G20" s="9" t="inlineStr">
        <is>
          <t>Not filled.</t>
        </is>
      </c>
    </row>
    <row r="21" ht="36" customHeight="1">
      <c r="A21" s="9" t="inlineStr">
        <is>
          <t>23</t>
        </is>
      </c>
      <c r="B21" s="9" t="inlineStr">
        <is>
          <t>Year</t>
        </is>
      </c>
      <c r="C21" s="9" t="inlineStr">
        <is>
          <t>~200?</t>
        </is>
      </c>
      <c r="D21" s="9" t="inlineStr">
        <is>
          <t>NO_FULL_TEXT</t>
        </is>
      </c>
      <c r="E21" s="9" t="inlineStr"/>
      <c r="F21" s="9" t="inlineStr"/>
      <c r="G21" s="9" t="inlineStr">
        <is>
          <t>Not filled. PDF not stored under papers/.</t>
        </is>
      </c>
    </row>
    <row r="23">
      <c r="A23" s="10" t="inlineStr">
        <is>
          <t>NR count</t>
        </is>
      </c>
      <c r="D23" s="13">
        <f>COUNTIF(D2:D21,"NR")</f>
        <v/>
      </c>
    </row>
    <row r="24">
      <c r="A24" s="10" t="inlineStr">
        <is>
          <t>NO_FULL_TEXT count</t>
        </is>
      </c>
      <c r="D24" s="13">
        <f>COUNTIF(D2:D21,"NO_FULL_TEXT")</f>
        <v/>
      </c>
    </row>
  </sheetData>
  <autoFilter ref="A1:G21"/>
  <pageMargins left="0.75" right="0.75" top="1" bottom="1" header="0.5" footer="0.5"/>
  <pageSetup orientation="landscape" paperSize="3" fitToHeight="0" fitToWidth="1"/>
  <headerFooter>
    <oddHeader>&amp;LPDF cell audit</oddHeader>
    <oddFooter>&amp;LGreen = filled from a local PDF. Yellow = still NO_FULL_TEXT.&amp;RPage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2026-10-06T00:10:27Z</dcterms:created>
  <dcterms:modified xsi:type="dcterms:W3CDTF">2026-10-06T00:10:27Z</dcterms:modified>
</cp:coreProperties>
</file>